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ropriétaire" sheetId="1" state="visible" r:id="rId3"/>
    <sheet name="Biens" sheetId="2" state="visible" r:id="rId4"/>
    <sheet name="Locataires" sheetId="3" state="visible" r:id="rId5"/>
    <sheet name="Baux" sheetId="4" state="visible" r:id="rId6"/>
    <sheet name="Suivi Paiements" sheetId="5" state="visible" r:id="rId7"/>
    <sheet name="Tableau de bord" sheetId="6" state="visible" r:id="rId8"/>
    <sheet name="Quittance" sheetId="7" state="visible" r:id="rId9"/>
    <sheet name="Avis d'échéance" sheetId="8" state="visible" r:id="rId10"/>
  </sheets>
  <definedNames>
    <definedName function="false" hidden="false" localSheetId="7" name="_xlnm.Print_Area" vbProcedure="false">'Avis d''échéance'!$A$3:$H$35</definedName>
    <definedName function="false" hidden="false" localSheetId="6" name="_xlnm.Print_Area" vbProcedure="false">Quittance!$A$3:$H$35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<sst xmlns="http://schemas.openxmlformats.org/spreadsheetml/2006/main" count="213" uniqueCount="137">
  <si>
    <t xml:space="preserve">INFORMATIONS PROPRIÉTAIRE</t>
  </si>
  <si>
    <t xml:space="preserve">Nom / Raison sociale</t>
  </si>
  <si>
    <t xml:space="preserve">Adresse</t>
  </si>
  <si>
    <t xml:space="preserve">Code postal</t>
  </si>
  <si>
    <t xml:space="preserve">Ville</t>
  </si>
  <si>
    <t xml:space="preserve">Téléphone</t>
  </si>
  <si>
    <t xml:space="preserve">Email</t>
  </si>
  <si>
    <t xml:space="preserve">SIRET</t>
  </si>
  <si>
    <t xml:space="preserve">N° TVA Intracommunautaire</t>
  </si>
  <si>
    <t xml:space="preserve">LISTE DES BIENS</t>
  </si>
  <si>
    <t xml:space="preserve">ID Bien</t>
  </si>
  <si>
    <t xml:space="preserve">Désignation</t>
  </si>
  <si>
    <t xml:space="preserve">Type</t>
  </si>
  <si>
    <t xml:space="preserve">Surface (m²)</t>
  </si>
  <si>
    <t xml:space="preserve">Étage / Niveau</t>
  </si>
  <si>
    <t xml:space="preserve">Observations</t>
  </si>
  <si>
    <t xml:space="preserve">B001</t>
  </si>
  <si>
    <t xml:space="preserve">Box A1</t>
  </si>
  <si>
    <t xml:space="preserve">Stockage</t>
  </si>
  <si>
    <t xml:space="preserve">12 rue des Entrepôts</t>
  </si>
  <si>
    <t xml:space="preserve">75012</t>
  </si>
  <si>
    <t xml:space="preserve">Paris</t>
  </si>
  <si>
    <t xml:space="preserve">RDC</t>
  </si>
  <si>
    <t xml:space="preserve">B002</t>
  </si>
  <si>
    <t xml:space="preserve">Box A2</t>
  </si>
  <si>
    <t xml:space="preserve">Garage</t>
  </si>
  <si>
    <t xml:space="preserve">B003</t>
  </si>
  <si>
    <t xml:space="preserve">Box B1</t>
  </si>
  <si>
    <t xml:space="preserve">Habitation</t>
  </si>
  <si>
    <t xml:space="preserve">5 avenue de la République</t>
  </si>
  <si>
    <t xml:space="preserve">75011</t>
  </si>
  <si>
    <t xml:space="preserve">2ème</t>
  </si>
  <si>
    <t xml:space="preserve">T2</t>
  </si>
  <si>
    <t xml:space="preserve">LISTE DES LOCATAIRES</t>
  </si>
  <si>
    <t xml:space="preserve">ID Locataire</t>
  </si>
  <si>
    <t xml:space="preserve">Civilité</t>
  </si>
  <si>
    <t xml:space="preserve">Nom</t>
  </si>
  <si>
    <t xml:space="preserve">Prénom</t>
  </si>
  <si>
    <t xml:space="preserve">L001</t>
  </si>
  <si>
    <t xml:space="preserve">M.</t>
  </si>
  <si>
    <t xml:space="preserve">Dupont</t>
  </si>
  <si>
    <t xml:space="preserve">Jean</t>
  </si>
  <si>
    <t xml:space="preserve">15 rue de la Paix</t>
  </si>
  <si>
    <t xml:space="preserve">75002</t>
  </si>
  <si>
    <t xml:space="preserve">06 12 34 56 78</t>
  </si>
  <si>
    <t xml:space="preserve">jean.dupont@email.fr</t>
  </si>
  <si>
    <t xml:space="preserve">L002</t>
  </si>
  <si>
    <t xml:space="preserve">Mme</t>
  </si>
  <si>
    <t xml:space="preserve">Martin</t>
  </si>
  <si>
    <t xml:space="preserve">Sophie</t>
  </si>
  <si>
    <t xml:space="preserve">8 bd Voltaire</t>
  </si>
  <si>
    <t xml:space="preserve">06 98 76 54 32</t>
  </si>
  <si>
    <t xml:space="preserve">s.martin@email.fr</t>
  </si>
  <si>
    <t xml:space="preserve">L003</t>
  </si>
  <si>
    <t xml:space="preserve">Bernard</t>
  </si>
  <si>
    <t xml:space="preserve">Pierre</t>
  </si>
  <si>
    <t xml:space="preserve">22 rue Oberkampf</t>
  </si>
  <si>
    <t xml:space="preserve">06 55 44 33 22</t>
  </si>
  <si>
    <t xml:space="preserve">p.bernard@email.fr</t>
  </si>
  <si>
    <t xml:space="preserve">GESTION DES BAUX</t>
  </si>
  <si>
    <t xml:space="preserve">ID Bail</t>
  </si>
  <si>
    <t xml:space="preserve">Désignation Bien</t>
  </si>
  <si>
    <t xml:space="preserve">Nom Locataire</t>
  </si>
  <si>
    <t xml:space="preserve">Date début</t>
  </si>
  <si>
    <t xml:space="preserve">Date fin</t>
  </si>
  <si>
    <t xml:space="preserve">Loyer HC (€)</t>
  </si>
  <si>
    <t xml:space="preserve">Charges (€)</t>
  </si>
  <si>
    <t xml:space="preserve">Total TTC (€)</t>
  </si>
  <si>
    <t xml:space="preserve">Jour d'échéance</t>
  </si>
  <si>
    <t xml:space="preserve">Dépôt de garantie (€)</t>
  </si>
  <si>
    <t xml:space="preserve">Statut</t>
  </si>
  <si>
    <t xml:space="preserve">BAIL-001</t>
  </si>
  <si>
    <t xml:space="preserve">Dupont Jean</t>
  </si>
  <si>
    <t xml:space="preserve">Actif</t>
  </si>
  <si>
    <t xml:space="preserve">BAIL-002</t>
  </si>
  <si>
    <t xml:space="preserve">Martin Sophie</t>
  </si>
  <si>
    <t xml:space="preserve">BAIL-003</t>
  </si>
  <si>
    <t xml:space="preserve">Bernard Pierre</t>
  </si>
  <si>
    <t xml:space="preserve">T2 meublé</t>
  </si>
  <si>
    <t xml:space="preserve">SUIVI DES PAIEMENTS</t>
  </si>
  <si>
    <t xml:space="preserve">ID Paiement</t>
  </si>
  <si>
    <t xml:space="preserve">Locataire</t>
  </si>
  <si>
    <t xml:space="preserve">Bien</t>
  </si>
  <si>
    <t xml:space="preserve">Période</t>
  </si>
  <si>
    <t xml:space="preserve">Total dû (€)</t>
  </si>
  <si>
    <t xml:space="preserve">Montant payé (€)</t>
  </si>
  <si>
    <t xml:space="preserve">Date paiement</t>
  </si>
  <si>
    <t xml:space="preserve">Mode paiement</t>
  </si>
  <si>
    <t xml:space="preserve">Solde (€)</t>
  </si>
  <si>
    <t xml:space="preserve">N° Quittance</t>
  </si>
  <si>
    <t xml:space="preserve">P001</t>
  </si>
  <si>
    <t xml:space="preserve">Janvier 2026</t>
  </si>
  <si>
    <t xml:space="preserve">Virement</t>
  </si>
  <si>
    <t xml:space="preserve">Q-2026-001</t>
  </si>
  <si>
    <t xml:space="preserve">P002</t>
  </si>
  <si>
    <t xml:space="preserve">Chèque</t>
  </si>
  <si>
    <t xml:space="preserve">Q-2026-002</t>
  </si>
  <si>
    <t xml:space="preserve">P003</t>
  </si>
  <si>
    <t xml:space="preserve">Prélèvement</t>
  </si>
  <si>
    <t xml:space="preserve">Q-2026-003</t>
  </si>
  <si>
    <t xml:space="preserve">P004</t>
  </si>
  <si>
    <t xml:space="preserve">Février 2026</t>
  </si>
  <si>
    <t xml:space="preserve">Q-2026-004</t>
  </si>
  <si>
    <t xml:space="preserve">P005</t>
  </si>
  <si>
    <t xml:space="preserve">Impayé</t>
  </si>
  <si>
    <t xml:space="preserve">P006</t>
  </si>
  <si>
    <t xml:space="preserve">Q-2026-005</t>
  </si>
  <si>
    <t xml:space="preserve">TABLEAU DE BORD</t>
  </si>
  <si>
    <t xml:space="preserve">Nombre de biens</t>
  </si>
  <si>
    <t xml:space="preserve">Nombre de locataires</t>
  </si>
  <si>
    <t xml:space="preserve">Baux actifs</t>
  </si>
  <si>
    <t xml:space="preserve">Revenus mensuels attendus</t>
  </si>
  <si>
    <t xml:space="preserve">Paiements reçus (total)</t>
  </si>
  <si>
    <t xml:space="preserve">Impayés (total)</t>
  </si>
  <si>
    <t xml:space="preserve">Nombre d'impayés</t>
  </si>
  <si>
    <t xml:space="preserve">Taux de recouvrement</t>
  </si>
  <si>
    <t xml:space="preserve">Sélectionnez le bail :</t>
  </si>
  <si>
    <t xml:space="preserve">Période :</t>
  </si>
  <si>
    <t xml:space="preserve">Avril 2026</t>
  </si>
  <si>
    <t xml:space="preserve">QUITTANCE DE LOYER</t>
  </si>
  <si>
    <t xml:space="preserve">BAILLEUR</t>
  </si>
  <si>
    <t xml:space="preserve">LOCATAIRE</t>
  </si>
  <si>
    <t xml:space="preserve">DÉTAIL DU PAIEMENT</t>
  </si>
  <si>
    <t xml:space="preserve">Montant</t>
  </si>
  <si>
    <t xml:space="preserve">Loyer hors charges</t>
  </si>
  <si>
    <t xml:space="preserve">Provision pour charges</t>
  </si>
  <si>
    <t xml:space="preserve">TOTAL</t>
  </si>
  <si>
    <t xml:space="preserve">Cette quittance annule tous les reçus qui auraient pu être délivrés pour acomptes versés au titre de cette même période.</t>
  </si>
  <si>
    <t xml:space="preserve">Elle est délivrée sous réserve de tous droits, actions et procédures du bailleur.</t>
  </si>
  <si>
    <t xml:space="preserve">Signature du bailleur :</t>
  </si>
  <si>
    <t xml:space="preserve">Document généré automatiquement - Gestion Locative</t>
  </si>
  <si>
    <t xml:space="preserve">AVIS D'ÉCHÉANCE</t>
  </si>
  <si>
    <t xml:space="preserve">DÉTAIL DE L'ÉCHÉANCE</t>
  </si>
  <si>
    <t xml:space="preserve">TOTAL À RÉGLER</t>
  </si>
  <si>
    <t xml:space="preserve">Cet avis d'échéance ne constitue pas une quittance de loyer.</t>
  </si>
  <si>
    <t xml:space="preserve">La quittance vous sera délivrée après encaissement effectif du paiement.</t>
  </si>
  <si>
    <t xml:space="preserve">En cas de difficultés de paiement, nous vous invitons à prendre contact avec nous dans les meilleurs délais.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</si>
</sst>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8"/>
      <color rgb="FF666666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4"/>
      <color rgb="FFE74C3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BF5FB"/>
        <bgColor rgb="FFF8F9FA"/>
      </patternFill>
    </fill>
    <fill>
      <patternFill patternType="solid">
        <fgColor rgb="FF2C3E50"/>
        <bgColor rgb="FF333399"/>
      </patternFill>
    </fill>
    <fill>
      <patternFill patternType="solid">
        <fgColor rgb="FFFFFFCC"/>
        <bgColor rgb="FFF8F9FA"/>
      </patternFill>
    </fill>
    <fill>
      <patternFill patternType="solid">
        <fgColor rgb="FF3498DB"/>
        <bgColor rgb="FF33CCCC"/>
      </patternFill>
    </fill>
    <fill>
      <patternFill patternType="solid">
        <fgColor rgb="FFF8F9FA"/>
        <bgColor rgb="FFFFFFFF"/>
      </patternFill>
    </fill>
    <fill>
      <patternFill patternType="solid">
        <fgColor rgb="FFE74C3C"/>
        <bgColor rgb="FFE67E22"/>
      </patternFill>
    </fill>
    <fill>
      <patternFill patternType="solid">
        <fgColor rgb="FFFADBD8"/>
        <bgColor rgb="FFEBF5F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E74C3C"/>
      </left>
      <right style="medium">
        <color rgb="FFE74C3C"/>
      </right>
      <top style="medium">
        <color rgb="FFE74C3C"/>
      </top>
      <bottom style="medium">
        <color rgb="FFE74C3C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/>
      <right/>
      <top style="medium">
        <color rgb="FF2C3E50"/>
      </top>
      <bottom style="medium">
        <color rgb="FF2C3E50"/>
      </bottom>
      <diagonal/>
    </border>
    <border diagonalUp="false" diagonalDown="false">
      <left style="medium">
        <color rgb="FFE74C3C"/>
      </left>
      <right/>
      <top style="medium">
        <color rgb="FFE74C3C"/>
      </top>
      <bottom style="medium">
        <color rgb="FFE74C3C"/>
      </bottom>
      <diagonal/>
    </border>
    <border diagonalUp="false" diagonalDown="false">
      <left/>
      <right/>
      <top style="medium">
        <color rgb="FFE74C3C"/>
      </top>
      <bottom style="medium">
        <color rgb="FFE74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ADBD8"/>
        </patternFill>
      </fill>
    </dxf>
    <dxf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FFFCC"/>
      <rgbColor rgb="FFEBF5FB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FFFF99"/>
      <rgbColor rgb="FF99CCFF"/>
      <rgbColor rgb="FFFF99CC"/>
      <rgbColor rgb="FFCC99FF"/>
      <rgbColor rgb="FFFADBD8"/>
      <rgbColor rgb="FF3498DB"/>
      <rgbColor rgb="FF33CCCC"/>
      <rgbColor rgb="FF99CC00"/>
      <rgbColor rgb="FFFFCC00"/>
      <rgbColor rgb="FFF39C12"/>
      <rgbColor rgb="FFE67E22"/>
      <rgbColor rgb="FF66666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/>
      <c r="C3" s="3"/>
      <c r="D3" s="3"/>
    </row>
    <row r="4" customFormat="false" ht="15" hidden="false" customHeight="false" outlineLevel="0" collapsed="false">
      <c r="A4" s="2" t="s">
        <v>2</v>
      </c>
      <c r="B4" s="3"/>
      <c r="C4" s="3"/>
      <c r="D4" s="3"/>
    </row>
    <row r="5" customFormat="false" ht="15" hidden="false" customHeight="false" outlineLevel="0" collapsed="false">
      <c r="A5" s="2" t="s">
        <v>3</v>
      </c>
      <c r="B5" s="3"/>
      <c r="C5" s="3"/>
      <c r="D5" s="3"/>
    </row>
    <row r="6" customFormat="false" ht="15" hidden="false" customHeight="false" outlineLevel="0" collapsed="false">
      <c r="A6" s="2" t="s">
        <v>4</v>
      </c>
      <c r="B6" s="3"/>
      <c r="C6" s="3"/>
      <c r="D6" s="3"/>
    </row>
    <row r="7" customFormat="false" ht="15" hidden="false" customHeight="false" outlineLevel="0" collapsed="false">
      <c r="A7" s="2" t="s">
        <v>5</v>
      </c>
      <c r="B7" s="3"/>
      <c r="C7" s="3"/>
      <c r="D7" s="3"/>
    </row>
    <row r="8" customFormat="false" ht="15" hidden="false" customHeight="false" outlineLevel="0" collapsed="false">
      <c r="A8" s="2" t="s">
        <v>6</v>
      </c>
      <c r="B8" s="3"/>
      <c r="C8" s="3"/>
      <c r="D8" s="3"/>
    </row>
    <row r="9" customFormat="false" ht="15" hidden="false" customHeight="false" outlineLevel="0" collapsed="false">
      <c r="A9" s="2" t="s">
        <v>7</v>
      </c>
      <c r="B9" s="3"/>
      <c r="C9" s="3"/>
      <c r="D9" s="3"/>
    </row>
    <row r="10" customFormat="false" ht="15" hidden="false" customHeight="false" outlineLevel="0" collapsed="false">
      <c r="A10" s="2" t="s">
        <v>8</v>
      </c>
      <c r="B10" s="3"/>
      <c r="C10" s="3"/>
      <c r="D10" s="3"/>
    </row>
  </sheetData>
  <mergeCells count="9">
    <mergeCell ref="A1:D1"/>
    <mergeCell ref="B3:D3"/>
    <mergeCell ref="B4:D4"/>
    <mergeCell ref="B5:D5"/>
    <mergeCell ref="B6:D6"/>
    <mergeCell ref="B7:D7"/>
    <mergeCell ref="B8:D8"/>
    <mergeCell ref="B9:D9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2</v>
      </c>
      <c r="E2" s="4" t="s">
        <v>3</v>
      </c>
      <c r="F2" s="4" t="s">
        <v>4</v>
      </c>
      <c r="G2" s="4" t="s">
        <v>13</v>
      </c>
      <c r="H2" s="4" t="s">
        <v>14</v>
      </c>
      <c r="I2" s="4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n">
        <v>15</v>
      </c>
      <c r="H3" s="5" t="s">
        <v>22</v>
      </c>
      <c r="I3" s="5"/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19</v>
      </c>
      <c r="E4" s="6" t="s">
        <v>20</v>
      </c>
      <c r="F4" s="6" t="s">
        <v>21</v>
      </c>
      <c r="G4" s="6" t="n">
        <v>20</v>
      </c>
      <c r="H4" s="6" t="s">
        <v>22</v>
      </c>
      <c r="I4" s="6"/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21</v>
      </c>
      <c r="G5" s="5" t="n">
        <v>45</v>
      </c>
      <c r="H5" s="5" t="s">
        <v>31</v>
      </c>
      <c r="I5" s="5" t="s">
        <v>32</v>
      </c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C3:C100" type="list">
      <formula1>"Stockage,Garage,Parking,Habitation,Local commercial,Cave,Autre"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10" min="9" style="0" width="25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85" hidden="false" customHeight="false" outlineLevel="0" collapsed="false">
      <c r="A2" s="4" t="s">
        <v>34</v>
      </c>
      <c r="B2" s="4" t="s">
        <v>35</v>
      </c>
      <c r="C2" s="4" t="s">
        <v>36</v>
      </c>
      <c r="D2" s="4" t="s">
        <v>37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15</v>
      </c>
    </row>
    <row r="3" customFormat="false" ht="15" hidden="false" customHeight="false" outlineLevel="0" collapsed="false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21</v>
      </c>
      <c r="H3" s="5" t="s">
        <v>44</v>
      </c>
      <c r="I3" s="5" t="s">
        <v>45</v>
      </c>
      <c r="J3" s="5"/>
    </row>
    <row r="4" customFormat="false" ht="15" hidden="false" customHeight="false" outlineLevel="0" collapsed="false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30</v>
      </c>
      <c r="G4" s="6" t="s">
        <v>21</v>
      </c>
      <c r="H4" s="6" t="s">
        <v>51</v>
      </c>
      <c r="I4" s="6" t="s">
        <v>52</v>
      </c>
      <c r="J4" s="6"/>
    </row>
    <row r="5" customFormat="false" ht="15" hidden="false" customHeight="false" outlineLevel="0" collapsed="false">
      <c r="A5" s="5" t="s">
        <v>53</v>
      </c>
      <c r="B5" s="5" t="s">
        <v>39</v>
      </c>
      <c r="C5" s="5" t="s">
        <v>54</v>
      </c>
      <c r="D5" s="5" t="s">
        <v>55</v>
      </c>
      <c r="E5" s="5" t="s">
        <v>56</v>
      </c>
      <c r="F5" s="5" t="s">
        <v>30</v>
      </c>
      <c r="G5" s="5" t="s">
        <v>21</v>
      </c>
      <c r="H5" s="5" t="s">
        <v>57</v>
      </c>
      <c r="I5" s="5" t="s">
        <v>58</v>
      </c>
      <c r="J5" s="5"/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B3:B100" type="list">
      <formula1>"M.,Mme,Mlle,SCI,SARL,SAS,Société"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1" min="6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25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6.85" hidden="false" customHeight="false" outlineLevel="0" collapsed="false">
      <c r="A2" s="4" t="s">
        <v>60</v>
      </c>
      <c r="B2" s="4" t="s">
        <v>10</v>
      </c>
      <c r="C2" s="4" t="s">
        <v>61</v>
      </c>
      <c r="D2" s="4" t="s">
        <v>34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15</v>
      </c>
    </row>
    <row r="3" customFormat="false" ht="15" hidden="false" customHeight="false" outlineLevel="0" collapsed="false">
      <c r="A3" s="5" t="s">
        <v>71</v>
      </c>
      <c r="B3" s="5" t="s">
        <v>16</v>
      </c>
      <c r="C3" s="5" t="s">
        <v>17</v>
      </c>
      <c r="D3" s="5" t="s">
        <v>38</v>
      </c>
      <c r="E3" s="5" t="s">
        <v>72</v>
      </c>
      <c r="F3" s="7" t="n">
        <v>45292</v>
      </c>
      <c r="G3" s="7" t="n">
        <v>46387</v>
      </c>
      <c r="H3" s="8" t="n">
        <v>150</v>
      </c>
      <c r="I3" s="8" t="n">
        <v>20</v>
      </c>
      <c r="J3" s="8" t="n">
        <f aca="false">H3+I3</f>
        <v>170</v>
      </c>
      <c r="K3" s="5" t="n">
        <v>1</v>
      </c>
      <c r="L3" s="8" t="n">
        <v>150</v>
      </c>
      <c r="M3" s="5" t="s">
        <v>73</v>
      </c>
      <c r="N3" s="5"/>
    </row>
    <row r="4" customFormat="false" ht="15" hidden="false" customHeight="false" outlineLevel="0" collapsed="false">
      <c r="A4" s="6" t="s">
        <v>74</v>
      </c>
      <c r="B4" s="6" t="s">
        <v>23</v>
      </c>
      <c r="C4" s="6" t="s">
        <v>24</v>
      </c>
      <c r="D4" s="6" t="s">
        <v>46</v>
      </c>
      <c r="E4" s="6" t="s">
        <v>75</v>
      </c>
      <c r="F4" s="9" t="n">
        <v>45444</v>
      </c>
      <c r="G4" s="9" t="n">
        <v>46538</v>
      </c>
      <c r="H4" s="10" t="n">
        <v>200</v>
      </c>
      <c r="I4" s="10" t="n">
        <v>30</v>
      </c>
      <c r="J4" s="10" t="n">
        <f aca="false">H4+I4</f>
        <v>230</v>
      </c>
      <c r="K4" s="6" t="n">
        <v>1</v>
      </c>
      <c r="L4" s="10" t="n">
        <v>200</v>
      </c>
      <c r="M4" s="6" t="s">
        <v>73</v>
      </c>
      <c r="N4" s="6"/>
    </row>
    <row r="5" customFormat="false" ht="15" hidden="false" customHeight="false" outlineLevel="0" collapsed="false">
      <c r="A5" s="5" t="s">
        <v>76</v>
      </c>
      <c r="B5" s="5" t="s">
        <v>26</v>
      </c>
      <c r="C5" s="5" t="s">
        <v>27</v>
      </c>
      <c r="D5" s="5" t="s">
        <v>53</v>
      </c>
      <c r="E5" s="5" t="s">
        <v>77</v>
      </c>
      <c r="F5" s="7" t="n">
        <v>45658</v>
      </c>
      <c r="G5" s="7" t="n">
        <v>46752</v>
      </c>
      <c r="H5" s="8" t="n">
        <v>750</v>
      </c>
      <c r="I5" s="8" t="n">
        <v>80</v>
      </c>
      <c r="J5" s="8" t="n">
        <f aca="false">H5+I5</f>
        <v>830</v>
      </c>
      <c r="K5" s="5" t="n">
        <v>1</v>
      </c>
      <c r="L5" s="8" t="n">
        <v>750</v>
      </c>
      <c r="M5" s="5" t="s">
        <v>73</v>
      </c>
      <c r="N5" s="5" t="s">
        <v>78</v>
      </c>
    </row>
  </sheetData>
  <mergeCells count="1">
    <mergeCell ref="A1:N1"/>
  </mergeCells>
  <dataValidations count="2">
    <dataValidation allowBlank="true" errorStyle="stop" operator="between" showDropDown="false" showErrorMessage="false" showInputMessage="false" sqref="M3:M100" type="list">
      <formula1>"Actif,Résilié,En attente,Expiré"</formula1>
      <formula2>0</formula2>
    </dataValidation>
    <dataValidation allowBlank="false" errorStyle="stop" operator="between" showDropDown="false" showErrorMessage="false" showInputMessage="false" sqref="K3:K100" type="whole">
      <formula1>1</formula1>
      <formula2>28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12" min="6" style="0" width="14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6.85" hidden="false" customHeight="false" outlineLevel="0" collapsed="false">
      <c r="A2" s="4" t="s">
        <v>80</v>
      </c>
      <c r="B2" s="4" t="s">
        <v>60</v>
      </c>
      <c r="C2" s="4" t="s">
        <v>81</v>
      </c>
      <c r="D2" s="4" t="s">
        <v>82</v>
      </c>
      <c r="E2" s="4" t="s">
        <v>83</v>
      </c>
      <c r="F2" s="4" t="s">
        <v>65</v>
      </c>
      <c r="G2" s="4" t="s">
        <v>66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70</v>
      </c>
      <c r="N2" s="4" t="s">
        <v>89</v>
      </c>
      <c r="O2" s="4" t="s">
        <v>15</v>
      </c>
    </row>
    <row r="3" customFormat="false" ht="15" hidden="false" customHeight="false" outlineLevel="0" collapsed="false">
      <c r="A3" s="5" t="s">
        <v>90</v>
      </c>
      <c r="B3" s="5" t="s">
        <v>71</v>
      </c>
      <c r="C3" s="5" t="s">
        <v>72</v>
      </c>
      <c r="D3" s="5" t="s">
        <v>17</v>
      </c>
      <c r="E3" s="5" t="s">
        <v>91</v>
      </c>
      <c r="F3" s="8" t="n">
        <v>150</v>
      </c>
      <c r="G3" s="8" t="n">
        <v>20</v>
      </c>
      <c r="H3" s="8" t="n">
        <f aca="false">F3+G3</f>
        <v>170</v>
      </c>
      <c r="I3" s="8" t="n">
        <v>170</v>
      </c>
      <c r="J3" s="7" t="n">
        <v>46025</v>
      </c>
      <c r="K3" s="5" t="s">
        <v>92</v>
      </c>
      <c r="L3" s="8" t="n">
        <f aca="false">H3-I3</f>
        <v>0</v>
      </c>
      <c r="M3" s="5" t="str">
        <f aca="false">IF(L3=0,"Payé",IF(I3&gt;0,"Partiel","Impayé"))</f>
        <v>Payé</v>
      </c>
      <c r="N3" s="5" t="s">
        <v>93</v>
      </c>
      <c r="O3" s="5"/>
    </row>
    <row r="4" customFormat="false" ht="15" hidden="false" customHeight="false" outlineLevel="0" collapsed="false">
      <c r="A4" s="6" t="s">
        <v>94</v>
      </c>
      <c r="B4" s="6" t="s">
        <v>74</v>
      </c>
      <c r="C4" s="6" t="s">
        <v>75</v>
      </c>
      <c r="D4" s="6" t="s">
        <v>24</v>
      </c>
      <c r="E4" s="6" t="s">
        <v>91</v>
      </c>
      <c r="F4" s="10" t="n">
        <v>200</v>
      </c>
      <c r="G4" s="10" t="n">
        <v>30</v>
      </c>
      <c r="H4" s="10" t="n">
        <f aca="false">F4+G4</f>
        <v>230</v>
      </c>
      <c r="I4" s="10" t="n">
        <v>230</v>
      </c>
      <c r="J4" s="9" t="n">
        <v>46027</v>
      </c>
      <c r="K4" s="6" t="s">
        <v>95</v>
      </c>
      <c r="L4" s="10" t="n">
        <f aca="false">H4-I4</f>
        <v>0</v>
      </c>
      <c r="M4" s="6" t="str">
        <f aca="false">IF(L4=0,"Payé",IF(I4&gt;0,"Partiel","Impayé"))</f>
        <v>Payé</v>
      </c>
      <c r="N4" s="6" t="s">
        <v>96</v>
      </c>
      <c r="O4" s="6"/>
    </row>
    <row r="5" customFormat="false" ht="15" hidden="false" customHeight="false" outlineLevel="0" collapsed="false">
      <c r="A5" s="5" t="s">
        <v>97</v>
      </c>
      <c r="B5" s="5" t="s">
        <v>76</v>
      </c>
      <c r="C5" s="5" t="s">
        <v>77</v>
      </c>
      <c r="D5" s="5" t="s">
        <v>27</v>
      </c>
      <c r="E5" s="5" t="s">
        <v>91</v>
      </c>
      <c r="F5" s="8" t="n">
        <v>750</v>
      </c>
      <c r="G5" s="8" t="n">
        <v>80</v>
      </c>
      <c r="H5" s="8" t="n">
        <f aca="false">F5+G5</f>
        <v>830</v>
      </c>
      <c r="I5" s="8" t="n">
        <v>830</v>
      </c>
      <c r="J5" s="7" t="n">
        <v>46024</v>
      </c>
      <c r="K5" s="5" t="s">
        <v>98</v>
      </c>
      <c r="L5" s="8" t="n">
        <f aca="false">H5-I5</f>
        <v>0</v>
      </c>
      <c r="M5" s="5" t="str">
        <f aca="false">IF(L5=0,"Payé",IF(I5&gt;0,"Partiel","Impayé"))</f>
        <v>Payé</v>
      </c>
      <c r="N5" s="5" t="s">
        <v>99</v>
      </c>
      <c r="O5" s="5"/>
    </row>
    <row r="6" customFormat="false" ht="15" hidden="false" customHeight="false" outlineLevel="0" collapsed="false">
      <c r="A6" s="6" t="s">
        <v>100</v>
      </c>
      <c r="B6" s="6" t="s">
        <v>71</v>
      </c>
      <c r="C6" s="6" t="s">
        <v>72</v>
      </c>
      <c r="D6" s="6" t="s">
        <v>17</v>
      </c>
      <c r="E6" s="6" t="s">
        <v>101</v>
      </c>
      <c r="F6" s="10" t="n">
        <v>150</v>
      </c>
      <c r="G6" s="10" t="n">
        <v>20</v>
      </c>
      <c r="H6" s="10" t="n">
        <f aca="false">F6+G6</f>
        <v>170</v>
      </c>
      <c r="I6" s="10" t="n">
        <v>170</v>
      </c>
      <c r="J6" s="9" t="n">
        <v>46054</v>
      </c>
      <c r="K6" s="6" t="s">
        <v>92</v>
      </c>
      <c r="L6" s="10" t="n">
        <f aca="false">H6-I6</f>
        <v>0</v>
      </c>
      <c r="M6" s="6" t="str">
        <f aca="false">IF(L6=0,"Payé",IF(I6&gt;0,"Partiel","Impayé"))</f>
        <v>Payé</v>
      </c>
      <c r="N6" s="6" t="s">
        <v>102</v>
      </c>
      <c r="O6" s="6"/>
    </row>
    <row r="7" customFormat="false" ht="15" hidden="false" customHeight="false" outlineLevel="0" collapsed="false">
      <c r="A7" s="5" t="s">
        <v>103</v>
      </c>
      <c r="B7" s="5" t="s">
        <v>74</v>
      </c>
      <c r="C7" s="5" t="s">
        <v>75</v>
      </c>
      <c r="D7" s="5" t="s">
        <v>24</v>
      </c>
      <c r="E7" s="5" t="s">
        <v>101</v>
      </c>
      <c r="F7" s="8" t="n">
        <v>200</v>
      </c>
      <c r="G7" s="8" t="n">
        <v>30</v>
      </c>
      <c r="H7" s="8" t="n">
        <f aca="false">F7+G7</f>
        <v>230</v>
      </c>
      <c r="I7" s="8" t="n">
        <v>0</v>
      </c>
      <c r="J7" s="5"/>
      <c r="K7" s="5"/>
      <c r="L7" s="8" t="n">
        <f aca="false">H7-I7</f>
        <v>230</v>
      </c>
      <c r="M7" s="5" t="str">
        <f aca="false">IF(L7=0,"Payé",IF(I7&gt;0,"Partiel","Impayé"))</f>
        <v>Impayé</v>
      </c>
      <c r="N7" s="5"/>
      <c r="O7" s="5" t="s">
        <v>104</v>
      </c>
    </row>
    <row r="8" customFormat="false" ht="15" hidden="false" customHeight="false" outlineLevel="0" collapsed="false">
      <c r="A8" s="6" t="s">
        <v>105</v>
      </c>
      <c r="B8" s="6" t="s">
        <v>76</v>
      </c>
      <c r="C8" s="6" t="s">
        <v>77</v>
      </c>
      <c r="D8" s="6" t="s">
        <v>27</v>
      </c>
      <c r="E8" s="6" t="s">
        <v>101</v>
      </c>
      <c r="F8" s="10" t="n">
        <v>750</v>
      </c>
      <c r="G8" s="10" t="n">
        <v>80</v>
      </c>
      <c r="H8" s="10" t="n">
        <f aca="false">F8+G8</f>
        <v>830</v>
      </c>
      <c r="I8" s="10" t="n">
        <v>830</v>
      </c>
      <c r="J8" s="9" t="n">
        <v>46056</v>
      </c>
      <c r="K8" s="6" t="s">
        <v>98</v>
      </c>
      <c r="L8" s="10" t="n">
        <f aca="false">H8-I8</f>
        <v>0</v>
      </c>
      <c r="M8" s="6" t="str">
        <f aca="false">IF(L8=0,"Payé",IF(I8&gt;0,"Partiel","Impayé"))</f>
        <v>Payé</v>
      </c>
      <c r="N8" s="6" t="s">
        <v>106</v>
      </c>
      <c r="O8" s="6"/>
    </row>
  </sheetData>
  <mergeCells count="1">
    <mergeCell ref="A1:O1"/>
  </mergeCells>
  <conditionalFormatting sqref="L3:L500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dataValidations count="1">
    <dataValidation allowBlank="true" errorStyle="stop" operator="between" showDropDown="false" showErrorMessage="false" showInputMessage="false" sqref="K3:K500" type="list">
      <formula1>"Virement,Chèque,Prélèvement,Espèces,CB,Autre"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1" t="s">
        <v>108</v>
      </c>
      <c r="B3" s="12" t="n">
        <f aca="false">COUNTA(Biens!A3:A100)</f>
        <v>3</v>
      </c>
    </row>
    <row r="4" customFormat="false" ht="15" hidden="false" customHeight="false" outlineLevel="0" collapsed="false">
      <c r="A4" s="11" t="s">
        <v>109</v>
      </c>
      <c r="B4" s="12" t="n">
        <f aca="false">COUNTA(Locataires!A3:A100)</f>
        <v>3</v>
      </c>
    </row>
    <row r="5" customFormat="false" ht="15" hidden="false" customHeight="false" outlineLevel="0" collapsed="false">
      <c r="A5" s="11" t="s">
        <v>110</v>
      </c>
      <c r="B5" s="12" t="n">
        <f aca="false">COUNTIF(Baux!M3:M100,"Actif")</f>
        <v>3</v>
      </c>
    </row>
    <row r="6" customFormat="false" ht="15" hidden="false" customHeight="false" outlineLevel="0" collapsed="false">
      <c r="A6" s="11" t="s">
        <v>111</v>
      </c>
      <c r="B6" s="13" t="n">
        <f aca="false">SUMPRODUCT((Baux!M3:M100="Actif")*(Baux!J3:J100))</f>
        <v>1230</v>
      </c>
    </row>
    <row r="8" customFormat="false" ht="15" hidden="false" customHeight="false" outlineLevel="0" collapsed="false">
      <c r="A8" s="11" t="s">
        <v>112</v>
      </c>
      <c r="B8" s="13" t="n">
        <f aca="false">SUM('Suivi Paiements'!I3:I500)</f>
        <v>2230</v>
      </c>
    </row>
    <row r="9" customFormat="false" ht="15" hidden="false" customHeight="false" outlineLevel="0" collapsed="false">
      <c r="A9" s="11" t="s">
        <v>113</v>
      </c>
      <c r="B9" s="13" t="n">
        <f aca="false">SUMPRODUCT(('Suivi Paiements'!L3:L500&gt;0)*('Suivi Paiements'!L3:L500))</f>
        <v>230</v>
      </c>
    </row>
    <row r="10" customFormat="false" ht="15" hidden="false" customHeight="false" outlineLevel="0" collapsed="false">
      <c r="A10" s="11" t="s">
        <v>114</v>
      </c>
      <c r="B10" s="12" t="n">
        <f aca="false">COUNTIF('Suivi Paiements'!M3:M500,"Impayé")</f>
        <v>1</v>
      </c>
    </row>
    <row r="11" customFormat="false" ht="15" hidden="false" customHeight="false" outlineLevel="0" collapsed="false">
      <c r="A11" s="11" t="s">
        <v>115</v>
      </c>
      <c r="B11" s="14" t="n">
        <f aca="false">IF(SUM('Suivi Paiements'!H3:H500)&gt;0,SUM('Suivi Paiements'!I3:I500)/SUM('Suivi Paiements'!H3:H500),0)</f>
        <v>0.90650406504065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B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7" min="4" style="0" width="14"/>
    <col collapsed="false" customWidth="true" hidden="false" outlineLevel="0" max="8" min="8" style="0" width="3"/>
  </cols>
  <sheetData>
    <row r="1" customFormat="false" ht="15" hidden="false" customHeight="false" outlineLevel="0" collapsed="false">
      <c r="B1" s="15" t="s">
        <v>116</v>
      </c>
      <c r="C1" s="15"/>
      <c r="D1" s="16" t="s">
        <v>71</v>
      </c>
      <c r="E1" s="15" t="s">
        <v>117</v>
      </c>
      <c r="F1" s="15"/>
      <c r="G1" s="16" t="s">
        <v>118</v>
      </c>
    </row>
    <row r="2" customFormat="false" ht="4.5" hidden="false" customHeight="true" outlineLevel="0" collapsed="false">
      <c r="B2" s="17" t="n">
        <f aca="false">MATCH(D1,Baux!A3:A100,0)</f>
        <v>1</v>
      </c>
      <c r="C2" s="17" t="str">
        <f aca="false">INDEX(Baux!D3:D100,B2)</f>
        <v>L001</v>
      </c>
      <c r="D2" s="17" t="str">
        <f aca="false">INDEX(Baux!B3:B100,B2)</f>
        <v>B001</v>
      </c>
      <c r="E2" s="17" t="n">
        <f aca="false">MATCH(C2,Locataires!A3:A100,0)</f>
        <v>1</v>
      </c>
      <c r="F2" s="17" t="n">
        <f aca="false">MATCH(D2,Biens!A3:A100,0)</f>
        <v>1</v>
      </c>
    </row>
    <row r="4" customFormat="false" ht="45" hidden="false" customHeight="true" outlineLevel="0" collapsed="false">
      <c r="B4" s="18" t="s">
        <v>119</v>
      </c>
      <c r="C4" s="18"/>
      <c r="D4" s="18"/>
      <c r="E4" s="18"/>
      <c r="F4" s="18"/>
      <c r="G4" s="18"/>
    </row>
    <row r="5" customFormat="false" ht="21.75" hidden="false" customHeight="true" outlineLevel="0" collapsed="false">
      <c r="B5" s="19" t="str">
        <f aca="false">"Période : "&amp;G1</f>
        <v>Période : Avril 2026</v>
      </c>
      <c r="C5" s="19"/>
      <c r="D5" s="19"/>
      <c r="E5" s="19"/>
      <c r="F5" s="19"/>
      <c r="G5" s="19"/>
    </row>
    <row r="6" customFormat="false" ht="7.5" hidden="false" customHeight="true" outlineLevel="0" collapsed="false"/>
    <row r="7" customFormat="false" ht="21.75" hidden="false" customHeight="true" outlineLevel="0" collapsed="false">
      <c r="B7" s="20" t="s">
        <v>120</v>
      </c>
      <c r="C7" s="20"/>
      <c r="D7" s="20"/>
      <c r="E7" s="20" t="s">
        <v>121</v>
      </c>
      <c r="F7" s="20"/>
      <c r="G7" s="20"/>
    </row>
    <row r="8" customFormat="false" ht="15" hidden="false" customHeight="false" outlineLevel="0" collapsed="false">
      <c r="B8" s="21" t="n">
        <f aca="false">Propriétaire!B3</f>
        <v>0</v>
      </c>
      <c r="C8" s="21"/>
      <c r="D8" s="21"/>
      <c r="E8" s="21" t="str">
        <f aca="false">INDEX(Locataires!B3:B100,E2)&amp;" "&amp;INDEX(Locataires!D3:D100,E2)&amp;" "&amp;INDEX(Locataires!C3:C100,E2)</f>
        <v>M. Jean Dupont</v>
      </c>
      <c r="F8" s="21"/>
      <c r="G8" s="21"/>
    </row>
    <row r="9" customFormat="false" ht="15" hidden="false" customHeight="false" outlineLevel="0" collapsed="false">
      <c r="B9" s="22" t="n">
        <f aca="false">Propriétaire!B4</f>
        <v>0</v>
      </c>
      <c r="C9" s="22"/>
      <c r="D9" s="22"/>
      <c r="E9" s="22" t="str">
        <f aca="false">INDEX(Locataires!E3:E100,E2)</f>
        <v>15 rue de la Paix</v>
      </c>
      <c r="F9" s="22"/>
      <c r="G9" s="22"/>
    </row>
    <row r="10" customFormat="false" ht="15" hidden="false" customHeight="false" outlineLevel="0" collapsed="false">
      <c r="B10" s="22" t="str">
        <f aca="false">Propriétaire!B5&amp;" "&amp;Propriétaire!B6</f>
        <v> </v>
      </c>
      <c r="C10" s="22"/>
      <c r="D10" s="22"/>
      <c r="E10" s="22" t="str">
        <f aca="false">INDEX(Locataires!F3:F100,E2)&amp;" "&amp;INDEX(Locataires!G3:G100,E2)</f>
        <v>75002 Paris</v>
      </c>
      <c r="F10" s="22"/>
      <c r="G10" s="22"/>
    </row>
    <row r="11" customFormat="false" ht="15" hidden="false" customHeight="false" outlineLevel="0" collapsed="false">
      <c r="B11" s="23" t="str">
        <f aca="false">IF(Propriétaire!B9&lt;&gt;"","SIRET : "&amp;Propriétaire!B9,"")</f>
        <v/>
      </c>
      <c r="C11" s="23"/>
      <c r="D11" s="23"/>
    </row>
    <row r="12" customFormat="false" ht="7.5" hidden="false" customHeight="true" outlineLevel="0" collapsed="false"/>
    <row r="13" customFormat="false" ht="15" hidden="false" customHeight="false" outlineLevel="0" collapsed="false">
      <c r="B13" s="24" t="str">
        <f aca="false">"Bien loué : "&amp;INDEX(Biens!B3:B100,F2)&amp;" ("&amp;INDEX(Biens!C3:C100,F2)&amp;")"</f>
        <v>Bien loué : Box A1 (Stockage)</v>
      </c>
      <c r="C13" s="24"/>
      <c r="D13" s="24"/>
      <c r="E13" s="24"/>
      <c r="F13" s="24"/>
      <c r="G13" s="24"/>
    </row>
    <row r="14" customFormat="false" ht="15" hidden="false" customHeight="false" outlineLevel="0" collapsed="false">
      <c r="B14" s="25" t="str">
        <f aca="false">"Adresse : "&amp;INDEX(Biens!D3:D100,F2)&amp;" - "&amp;INDEX(Biens!E3:E100,F2)&amp;" "&amp;INDEX(Biens!F3:F100,F2)</f>
        <v>Adresse : 12 rue des Entrepôts - 75012 Paris</v>
      </c>
      <c r="C14" s="25"/>
      <c r="D14" s="25"/>
      <c r="E14" s="25"/>
      <c r="F14" s="25"/>
      <c r="G14" s="25"/>
    </row>
    <row r="15" customFormat="false" ht="15" hidden="false" customHeight="false" outlineLevel="0" collapsed="false">
      <c r="B15" s="25" t="str">
        <f aca="false">"Bail n° : "&amp;D1</f>
        <v>Bail n° : BAIL-001</v>
      </c>
      <c r="C15" s="25"/>
      <c r="D15" s="25"/>
      <c r="E15" s="25"/>
      <c r="F15" s="25"/>
      <c r="G15" s="25"/>
    </row>
    <row r="16" customFormat="false" ht="12" hidden="false" customHeight="true" outlineLevel="0" collapsed="false"/>
    <row r="17" customFormat="false" ht="27.75" hidden="false" customHeight="true" outlineLevel="0" collapsed="false">
      <c r="B17" s="26" t="s">
        <v>122</v>
      </c>
      <c r="C17" s="26"/>
      <c r="D17" s="26"/>
      <c r="E17" s="26"/>
      <c r="F17" s="26"/>
      <c r="G17" s="26"/>
    </row>
    <row r="18" customFormat="false" ht="7.5" hidden="false" customHeight="true" outlineLevel="0" collapsed="false"/>
    <row r="19" customFormat="false" ht="24.75" hidden="false" customHeight="true" outlineLevel="0" collapsed="false">
      <c r="B19" s="27" t="s">
        <v>11</v>
      </c>
      <c r="C19" s="27"/>
      <c r="D19" s="27"/>
      <c r="E19" s="27"/>
      <c r="F19" s="28" t="s">
        <v>123</v>
      </c>
      <c r="G19" s="28"/>
    </row>
    <row r="20" customFormat="false" ht="24.75" hidden="false" customHeight="true" outlineLevel="0" collapsed="false">
      <c r="B20" s="29" t="s">
        <v>124</v>
      </c>
      <c r="C20" s="29"/>
      <c r="D20" s="29"/>
      <c r="E20" s="29"/>
      <c r="F20" s="30" t="n">
        <f aca="false">INDEX(Baux!H3:H100,B2)</f>
        <v>150</v>
      </c>
      <c r="G20" s="30"/>
    </row>
    <row r="21" customFormat="false" ht="24.75" hidden="false" customHeight="true" outlineLevel="0" collapsed="false">
      <c r="B21" s="29" t="s">
        <v>125</v>
      </c>
      <c r="C21" s="29"/>
      <c r="D21" s="29"/>
      <c r="E21" s="29"/>
      <c r="F21" s="30" t="n">
        <f aca="false">INDEX(Baux!I3:I100,B2)</f>
        <v>20</v>
      </c>
      <c r="G21" s="30"/>
    </row>
    <row r="22" customFormat="false" ht="6" hidden="false" customHeight="true" outlineLevel="0" collapsed="false"/>
    <row r="23" customFormat="false" ht="30" hidden="false" customHeight="true" outlineLevel="0" collapsed="false">
      <c r="B23" s="31" t="s">
        <v>126</v>
      </c>
      <c r="C23" s="31"/>
      <c r="D23" s="31"/>
      <c r="E23" s="31"/>
      <c r="F23" s="32" t="n">
        <f aca="false">F20+F21</f>
        <v>170</v>
      </c>
      <c r="G23" s="32"/>
    </row>
    <row r="24" customFormat="false" ht="9.75" hidden="false" customHeight="true" outlineLevel="0" collapsed="false"/>
    <row r="25" customFormat="false" ht="39.75" hidden="false" customHeight="true" outlineLevel="0" collapsed="false">
      <c r="B25" s="33" t="str">
        <f aca="false">"Le bailleur, "&amp;Propriétaire!B3&amp;", propriétaire du logement désigné ci-dessus, déclare avoir reçu de "&amp;INDEX(Locataires!B3:B100,E2)&amp;" "&amp;INDEX(Locataires!D3:D100,E2)&amp;" "&amp;INDEX(Locataires!C3:C100,E2)&amp;" la somme de "&amp;TEXT(F23,"#,##0.00 €")&amp;" au titre du paiement du loyer et des charges pour la période de "&amp;G1&amp;"."</f>
        <v>Le bailleur, , propriétaire du logement désigné ci-dessus, déclare avoir reçu de M. Jean Dupont la somme de 170.00 € au titre du paiement du loyer et des charges pour la période de Avril 2026.</v>
      </c>
      <c r="C25" s="33"/>
      <c r="D25" s="33"/>
      <c r="E25" s="33"/>
      <c r="F25" s="33"/>
      <c r="G25" s="33"/>
    </row>
    <row r="26" customFormat="false" ht="15" hidden="false" customHeight="false" outlineLevel="0" collapsed="false">
      <c r="B26" s="34" t="s">
        <v>127</v>
      </c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 t="s">
        <v>128</v>
      </c>
      <c r="C27" s="34"/>
      <c r="D27" s="34"/>
      <c r="E27" s="34"/>
      <c r="F27" s="34"/>
      <c r="G27" s="34"/>
    </row>
    <row r="28" customFormat="false" ht="15" hidden="false" customHeight="true" outlineLevel="0" collapsed="false"/>
    <row r="29" customFormat="false" ht="15" hidden="false" customHeight="false" outlineLevel="0" collapsed="false">
      <c r="E29" s="22" t="str">
        <f aca="false">"Fait à "&amp;Propriétaire!B6</f>
        <v>Fait à </v>
      </c>
      <c r="F29" s="22"/>
      <c r="G29" s="22"/>
    </row>
    <row r="30" customFormat="false" ht="15" hidden="false" customHeight="false" outlineLevel="0" collapsed="false">
      <c r="E30" s="22" t="str">
        <f aca="true">"Le "&amp;TEXT(TODAY(),"DD/MM/YYYY")</f>
        <v>Le 14/04/2026</v>
      </c>
      <c r="F30" s="22"/>
      <c r="G30" s="22"/>
    </row>
    <row r="31" customFormat="false" ht="7.5" hidden="false" customHeight="true" outlineLevel="0" collapsed="false"/>
    <row r="32" customFormat="false" ht="15" hidden="false" customHeight="false" outlineLevel="0" collapsed="false">
      <c r="E32" s="22" t="s">
        <v>129</v>
      </c>
      <c r="F32" s="22"/>
      <c r="G32" s="22"/>
    </row>
    <row r="33" customFormat="false" ht="39.75" hidden="false" customHeight="true" outlineLevel="0" collapsed="false"/>
    <row r="35" customFormat="false" ht="15" hidden="false" customHeight="false" outlineLevel="0" collapsed="false">
      <c r="B35" s="35" t="s">
        <v>130</v>
      </c>
      <c r="C35" s="35"/>
      <c r="D35" s="35"/>
      <c r="E35" s="35"/>
      <c r="F35" s="35"/>
      <c r="G35" s="35"/>
    </row>
  </sheetData>
  <mergeCells count="32">
    <mergeCell ref="B1:C1"/>
    <mergeCell ref="E1:F1"/>
    <mergeCell ref="B4:G4"/>
    <mergeCell ref="B5:G5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B13:G13"/>
    <mergeCell ref="B14:G14"/>
    <mergeCell ref="B15:G15"/>
    <mergeCell ref="B17:G17"/>
    <mergeCell ref="B19:E19"/>
    <mergeCell ref="F19:G19"/>
    <mergeCell ref="B20:E20"/>
    <mergeCell ref="F20:G20"/>
    <mergeCell ref="B21:E21"/>
    <mergeCell ref="F21:G21"/>
    <mergeCell ref="B23:E23"/>
    <mergeCell ref="F23:G23"/>
    <mergeCell ref="B25:G25"/>
    <mergeCell ref="B26:G26"/>
    <mergeCell ref="B27:G27"/>
    <mergeCell ref="E29:G29"/>
    <mergeCell ref="E30:G30"/>
    <mergeCell ref="E32:G32"/>
    <mergeCell ref="B35:G35"/>
  </mergeCells>
  <dataValidations count="1">
    <dataValidation allowBlank="false" error="Choisissez un bail valide" errorStyle="stop" operator="between" showDropDown="false" showErrorMessage="false" showInputMessage="false" sqref="D1" type="list">
      <formula1>Baux!$A$3:$A$100</formula1>
      <formula2>0</formula2>
    </dataValidation>
  </dataValidations>
  <printOptions headings="false" gridLines="false" gridLinesSet="true" horizontalCentered="false" verticalCentered="false"/>
  <pageMargins left="0.5" right="0.5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true"/>
  </sheetPr>
  <dimension ref="B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7" min="4" style="0" width="14"/>
    <col collapsed="false" customWidth="true" hidden="false" outlineLevel="0" max="8" min="8" style="0" width="3"/>
  </cols>
  <sheetData>
    <row r="1" customFormat="false" ht="15" hidden="false" customHeight="false" outlineLevel="0" collapsed="false">
      <c r="B1" s="15" t="s">
        <v>116</v>
      </c>
      <c r="C1" s="15"/>
      <c r="D1" s="16" t="s">
        <v>71</v>
      </c>
      <c r="E1" s="15" t="s">
        <v>117</v>
      </c>
      <c r="F1" s="15"/>
      <c r="G1" s="16" t="s">
        <v>118</v>
      </c>
    </row>
    <row r="2" customFormat="false" ht="4.5" hidden="false" customHeight="true" outlineLevel="0" collapsed="false">
      <c r="B2" s="17" t="n">
        <f aca="false">MATCH(D1,Baux!A3:A100,0)</f>
        <v>1</v>
      </c>
      <c r="C2" s="17" t="str">
        <f aca="false">INDEX(Baux!D3:D100,B2)</f>
        <v>L001</v>
      </c>
      <c r="D2" s="17" t="str">
        <f aca="false">INDEX(Baux!B3:B100,B2)</f>
        <v>B001</v>
      </c>
      <c r="E2" s="17" t="n">
        <f aca="false">MATCH(C2,Locataires!A3:A100,0)</f>
        <v>1</v>
      </c>
      <c r="F2" s="17" t="n">
        <f aca="false">MATCH(D2,Biens!A3:A100,0)</f>
        <v>1</v>
      </c>
    </row>
    <row r="4" customFormat="false" ht="45" hidden="false" customHeight="true" outlineLevel="0" collapsed="false">
      <c r="B4" s="36" t="s">
        <v>131</v>
      </c>
      <c r="C4" s="36"/>
      <c r="D4" s="36"/>
      <c r="E4" s="36"/>
      <c r="F4" s="36"/>
      <c r="G4" s="36"/>
    </row>
    <row r="5" customFormat="false" ht="21.75" hidden="false" customHeight="true" outlineLevel="0" collapsed="false">
      <c r="B5" s="37" t="str">
        <f aca="false">"Période : "&amp;G1</f>
        <v>Période : Avril 2026</v>
      </c>
      <c r="C5" s="37"/>
      <c r="D5" s="37"/>
      <c r="E5" s="37"/>
      <c r="F5" s="37"/>
      <c r="G5" s="37"/>
    </row>
    <row r="6" customFormat="false" ht="7.5" hidden="false" customHeight="true" outlineLevel="0" collapsed="false"/>
    <row r="7" customFormat="false" ht="15" hidden="false" customHeight="false" outlineLevel="0" collapsed="false">
      <c r="B7" s="38" t="s">
        <v>120</v>
      </c>
      <c r="C7" s="38"/>
      <c r="D7" s="38"/>
      <c r="E7" s="38" t="s">
        <v>121</v>
      </c>
      <c r="F7" s="38"/>
      <c r="G7" s="38"/>
    </row>
    <row r="8" customFormat="false" ht="15" hidden="false" customHeight="false" outlineLevel="0" collapsed="false">
      <c r="B8" s="21" t="n">
        <f aca="false">Propriétaire!B3</f>
        <v>0</v>
      </c>
      <c r="C8" s="21"/>
      <c r="D8" s="21"/>
      <c r="E8" s="21" t="str">
        <f aca="false">INDEX(Locataires!B3:B100,E2)&amp;" "&amp;INDEX(Locataires!D3:D100,E2)&amp;" "&amp;INDEX(Locataires!C3:C100,E2)</f>
        <v>M. Jean Dupont</v>
      </c>
      <c r="F8" s="21"/>
      <c r="G8" s="21"/>
    </row>
    <row r="9" customFormat="false" ht="15" hidden="false" customHeight="false" outlineLevel="0" collapsed="false">
      <c r="B9" s="22" t="n">
        <f aca="false">Propriétaire!B4</f>
        <v>0</v>
      </c>
      <c r="C9" s="22"/>
      <c r="D9" s="22"/>
      <c r="E9" s="22" t="str">
        <f aca="false">INDEX(Locataires!E3:E100,E2)</f>
        <v>15 rue de la Paix</v>
      </c>
      <c r="F9" s="22"/>
      <c r="G9" s="22"/>
    </row>
    <row r="10" customFormat="false" ht="15" hidden="false" customHeight="false" outlineLevel="0" collapsed="false">
      <c r="B10" s="22" t="str">
        <f aca="false">Propriétaire!B5&amp;" "&amp;Propriétaire!B6</f>
        <v> </v>
      </c>
      <c r="C10" s="22"/>
      <c r="D10" s="22"/>
      <c r="E10" s="22" t="str">
        <f aca="false">INDEX(Locataires!F3:F100,E2)&amp;" "&amp;INDEX(Locataires!G3:G100,E2)</f>
        <v>75002 Paris</v>
      </c>
      <c r="F10" s="22"/>
      <c r="G10" s="22"/>
    </row>
    <row r="12" customFormat="false" ht="7.5" hidden="false" customHeight="true" outlineLevel="0" collapsed="false"/>
    <row r="13" customFormat="false" ht="15" hidden="false" customHeight="false" outlineLevel="0" collapsed="false">
      <c r="B13" s="24" t="str">
        <f aca="false">"Bien loué : "&amp;INDEX(Biens!B3:B100,F2)&amp;" ("&amp;INDEX(Biens!C3:C100,F2)&amp;")"</f>
        <v>Bien loué : Box A1 (Stockage)</v>
      </c>
      <c r="C13" s="24"/>
      <c r="D13" s="24"/>
      <c r="E13" s="24"/>
      <c r="F13" s="24"/>
      <c r="G13" s="24"/>
    </row>
    <row r="14" customFormat="false" ht="15" hidden="false" customHeight="false" outlineLevel="0" collapsed="false">
      <c r="B14" s="25" t="str">
        <f aca="false">"Adresse : "&amp;INDEX(Biens!D3:D100,F2)&amp;" - "&amp;INDEX(Biens!E3:E100,F2)&amp;" "&amp;INDEX(Biens!F3:F100,F2)</f>
        <v>Adresse : 12 rue des Entrepôts - 75012 Paris</v>
      </c>
      <c r="C14" s="25"/>
      <c r="D14" s="25"/>
      <c r="E14" s="25"/>
      <c r="F14" s="25"/>
      <c r="G14" s="25"/>
    </row>
    <row r="15" customFormat="false" ht="15" hidden="false" customHeight="false" outlineLevel="0" collapsed="false">
      <c r="B15" s="25" t="str">
        <f aca="false">"Bail n° : "&amp;D1</f>
        <v>Bail n° : BAIL-001</v>
      </c>
      <c r="C15" s="25"/>
      <c r="D15" s="25"/>
      <c r="E15" s="25"/>
      <c r="F15" s="25"/>
      <c r="G15" s="25"/>
    </row>
    <row r="16" customFormat="false" ht="9.75" hidden="false" customHeight="true" outlineLevel="0" collapsed="false"/>
    <row r="17" customFormat="false" ht="39.75" hidden="false" customHeight="true" outlineLevel="0" collapsed="false">
      <c r="B17" s="39" t="str">
        <f aca="false">"Montant à régler : "&amp;TEXT(INDEX(Baux!H3:H100,B2)+INDEX(Baux!I3:I100,B2),"#,##0.00 €")</f>
        <v>Montant à régler : 170.00 €</v>
      </c>
      <c r="C17" s="39"/>
      <c r="D17" s="39"/>
      <c r="E17" s="39"/>
      <c r="F17" s="39"/>
      <c r="G17" s="39"/>
    </row>
    <row r="18" customFormat="false" ht="9.75" hidden="false" customHeight="true" outlineLevel="0" collapsed="false"/>
    <row r="19" customFormat="false" ht="27.75" hidden="false" customHeight="true" outlineLevel="0" collapsed="false">
      <c r="B19" s="40" t="s">
        <v>132</v>
      </c>
      <c r="C19" s="40"/>
      <c r="D19" s="40"/>
      <c r="E19" s="40"/>
      <c r="F19" s="40"/>
      <c r="G19" s="40"/>
    </row>
    <row r="20" customFormat="false" ht="6" hidden="false" customHeight="true" outlineLevel="0" collapsed="false"/>
    <row r="21" customFormat="false" ht="15" hidden="false" customHeight="false" outlineLevel="0" collapsed="false">
      <c r="B21" s="27" t="s">
        <v>11</v>
      </c>
      <c r="C21" s="27"/>
      <c r="D21" s="27"/>
      <c r="E21" s="27"/>
      <c r="F21" s="28" t="s">
        <v>123</v>
      </c>
      <c r="G21" s="28"/>
    </row>
    <row r="22" customFormat="false" ht="24.75" hidden="false" customHeight="true" outlineLevel="0" collapsed="false">
      <c r="B22" s="29" t="s">
        <v>124</v>
      </c>
      <c r="C22" s="29"/>
      <c r="D22" s="29"/>
      <c r="E22" s="29"/>
      <c r="F22" s="30" t="n">
        <f aca="false">INDEX(Baux!H3:H100,B2)</f>
        <v>150</v>
      </c>
      <c r="G22" s="30"/>
    </row>
    <row r="23" customFormat="false" ht="24.75" hidden="false" customHeight="true" outlineLevel="0" collapsed="false">
      <c r="B23" s="29" t="s">
        <v>125</v>
      </c>
      <c r="C23" s="29"/>
      <c r="D23" s="29"/>
      <c r="E23" s="29"/>
      <c r="F23" s="30" t="n">
        <f aca="false">INDEX(Baux!I3:I100,B2)</f>
        <v>20</v>
      </c>
      <c r="G23" s="30"/>
    </row>
    <row r="24" customFormat="false" ht="6" hidden="false" customHeight="true" outlineLevel="0" collapsed="false"/>
    <row r="25" customFormat="false" ht="30" hidden="false" customHeight="true" outlineLevel="0" collapsed="false">
      <c r="B25" s="41" t="s">
        <v>133</v>
      </c>
      <c r="C25" s="41"/>
      <c r="D25" s="41"/>
      <c r="E25" s="41"/>
      <c r="F25" s="42" t="n">
        <f aca="false">F22+F23</f>
        <v>170</v>
      </c>
      <c r="G25" s="42"/>
    </row>
    <row r="26" customFormat="false" ht="15" hidden="false" customHeight="true" outlineLevel="0" collapsed="false"/>
    <row r="27" customFormat="false" ht="15" hidden="false" customHeight="false" outlineLevel="0" collapsed="false">
      <c r="B27" s="34" t="s">
        <v>134</v>
      </c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 t="s">
        <v>135</v>
      </c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 t="s">
        <v>136</v>
      </c>
      <c r="C29" s="34"/>
      <c r="D29" s="34"/>
      <c r="E29" s="34"/>
      <c r="F29" s="34"/>
      <c r="G29" s="34"/>
    </row>
    <row r="30" customFormat="false" ht="15" hidden="false" customHeight="true" outlineLevel="0" collapsed="false"/>
    <row r="31" customFormat="false" ht="15" hidden="false" customHeight="false" outlineLevel="0" collapsed="false">
      <c r="E31" s="22" t="str">
        <f aca="false">"Fait à "&amp;Propriétaire!B6</f>
        <v>Fait à </v>
      </c>
      <c r="F31" s="22"/>
      <c r="G31" s="22"/>
    </row>
    <row r="32" customFormat="false" ht="15" hidden="false" customHeight="false" outlineLevel="0" collapsed="false">
      <c r="E32" s="22" t="str">
        <f aca="true">"Le "&amp;TEXT(TODAY(),"DD/MM/YYYY")</f>
        <v>Le 14/04/2026</v>
      </c>
      <c r="F32" s="22"/>
      <c r="G32" s="22"/>
    </row>
    <row r="35" customFormat="false" ht="15" hidden="false" customHeight="false" outlineLevel="0" collapsed="false">
      <c r="B35" s="43" t="s">
        <v>130</v>
      </c>
      <c r="C35" s="43"/>
      <c r="D35" s="43"/>
      <c r="E35" s="43"/>
      <c r="F35" s="43"/>
      <c r="G35" s="43"/>
    </row>
  </sheetData>
  <mergeCells count="31">
    <mergeCell ref="B1:C1"/>
    <mergeCell ref="E1:F1"/>
    <mergeCell ref="B4:G4"/>
    <mergeCell ref="B5:G5"/>
    <mergeCell ref="B7:D7"/>
    <mergeCell ref="E7:G7"/>
    <mergeCell ref="B8:D8"/>
    <mergeCell ref="E8:G8"/>
    <mergeCell ref="B9:D9"/>
    <mergeCell ref="E9:G9"/>
    <mergeCell ref="B10:D10"/>
    <mergeCell ref="E10:G10"/>
    <mergeCell ref="B13:G13"/>
    <mergeCell ref="B14:G14"/>
    <mergeCell ref="B15:G15"/>
    <mergeCell ref="B17:G17"/>
    <mergeCell ref="B19:G19"/>
    <mergeCell ref="B21:E21"/>
    <mergeCell ref="F21:G21"/>
    <mergeCell ref="B22:E22"/>
    <mergeCell ref="F22:G22"/>
    <mergeCell ref="B23:E23"/>
    <mergeCell ref="F23:G23"/>
    <mergeCell ref="B25:E25"/>
    <mergeCell ref="F25:G25"/>
    <mergeCell ref="B27:G27"/>
    <mergeCell ref="B28:G28"/>
    <mergeCell ref="B29:G29"/>
    <mergeCell ref="E31:G31"/>
    <mergeCell ref="E32:G32"/>
    <mergeCell ref="B35:G35"/>
  </mergeCells>
  <dataValidations count="1">
    <dataValidation allowBlank="false" errorStyle="stop" operator="between" showDropDown="false" showErrorMessage="false" showInputMessage="false" sqref="D1" type="list">
      <formula1>Baux!$A$3:$A$100</formula1>
      <formula2>0</formula2>
    </dataValidation>
  </dataValidations>
  <printOptions headings="false" gridLines="false" gridLinesSet="true" horizontalCentered="false" verticalCentered="false"/>
  <pageMargins left="0.5" right="0.5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2026-04-14T15:30:08Z</dcterms:created>
  <dc:creator>openpyxl</dc:creator>
  <dc:description/>
  <dc:language>en-US</dc:language>
  <cp:lastModifiedBy/>
  <dcterms:modified xsi:type="dcterms:W3CDTF">2026-04-14T15:30:08Z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